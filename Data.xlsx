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648adae73197c952/Documents/AI - 4th year/"/>
    </mc:Choice>
  </mc:AlternateContent>
  <xr:revisionPtr revIDLastSave="14" documentId="8_{34BE6E79-A4DF-45D7-93F5-6328764EAAC0}" xr6:coauthVersionLast="47" xr6:coauthVersionMax="47" xr10:uidLastSave="{926DD0CC-3BC3-4449-B389-849AA0B7B362}"/>
  <bookViews>
    <workbookView xWindow="1692" yWindow="1044" windowWidth="13308" windowHeight="8880" firstSheet="1" activeTab="2" xr2:uid="{00000000-000D-0000-FFFF-FFFF00000000}"/>
  </bookViews>
  <sheets>
    <sheet name="Read Me" sheetId="1" r:id="rId1"/>
    <sheet name="Team" sheetId="2" r:id="rId2"/>
    <sheet name="Dataset" sheetId="3" r:id="rId3"/>
    <sheet name="Chart counts" sheetId="4" r:id="rId4"/>
    <sheet name="Vocabulari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 i="4" l="1"/>
  <c r="B36" i="4"/>
  <c r="B35" i="4"/>
  <c r="B34" i="4"/>
  <c r="B33" i="4"/>
  <c r="B30" i="4"/>
  <c r="B29" i="4"/>
  <c r="B28" i="4"/>
  <c r="B27" i="4"/>
  <c r="B26" i="4"/>
  <c r="B23" i="4"/>
  <c r="B22" i="4"/>
  <c r="B21" i="4"/>
  <c r="B20" i="4"/>
  <c r="B19" i="4"/>
  <c r="B16" i="4"/>
  <c r="B15" i="4"/>
  <c r="B14" i="4"/>
  <c r="B13" i="4"/>
  <c r="B10" i="4"/>
  <c r="B9" i="4"/>
  <c r="B8" i="4"/>
  <c r="B7" i="4"/>
  <c r="B6" i="4"/>
  <c r="B5" i="4"/>
</calcChain>
</file>

<file path=xl/sharedStrings.xml><?xml version="1.0" encoding="utf-8"?>
<sst xmlns="http://schemas.openxmlformats.org/spreadsheetml/2006/main" count="161" uniqueCount="103">
  <si>
    <t>Judgment Content Analysis · Dataset template</t>
  </si>
  <si>
    <t>How to use this file</t>
  </si>
  <si>
    <t>1. Fill the Team sheet.</t>
  </si>
  <si>
    <t>3. Pale yellow cells are yours to fill. Dropdown columns accept only the listed values (see the Vocabularies sheet). Do not add, delete or reorder columns.</t>
  </si>
  <si>
    <t>5. Read the Option 2 Guide for the column meanings, the charts, GitHub steps and the README.</t>
  </si>
  <si>
    <t>Team information</t>
  </si>
  <si>
    <t>Topic</t>
  </si>
  <si>
    <t>Court</t>
  </si>
  <si>
    <t>Team name</t>
  </si>
  <si>
    <t>GitHub repository link</t>
  </si>
  <si>
    <t>Member 1 · name and section</t>
  </si>
  <si>
    <t>Member 2 · name and section</t>
  </si>
  <si>
    <t>Member 3 · name and section (if any)</t>
  </si>
  <si>
    <t>Member 4 · name and section (if any)</t>
  </si>
  <si>
    <t>Date completed (DD-MM-YYYY)</t>
  </si>
  <si>
    <t>Data · one row per judgment</t>
  </si>
  <si>
    <t>Row 5 is a made-up example. Your judgments start at row 6. Enter 10 to 20 judgments decided between 01-09-2021 and 31-08-2026. See the Option 2 Guide, section 4.</t>
  </si>
  <si>
    <t>#</t>
  </si>
  <si>
    <t>Case name</t>
  </si>
  <si>
    <t>Citation or case number</t>
  </si>
  <si>
    <t>Date of decision (DD-MM-YYYY)</t>
  </si>
  <si>
    <t>Year</t>
  </si>
  <si>
    <t>Bench strength</t>
  </si>
  <si>
    <t>Type of case</t>
  </si>
  <si>
    <t>Who brought the case</t>
  </si>
  <si>
    <t>Outcome</t>
  </si>
  <si>
    <t>Who won</t>
  </si>
  <si>
    <t>Main provision</t>
  </si>
  <si>
    <t>Issue in one line</t>
  </si>
  <si>
    <t>Holding in one line</t>
  </si>
  <si>
    <t>Precedent chiefly relied on</t>
  </si>
  <si>
    <t>Source link (official copy)</t>
  </si>
  <si>
    <t>Coded by</t>
  </si>
  <si>
    <t>EX</t>
  </si>
  <si>
    <t>Example Petitioner v. State of Maharashtra (made-up)</t>
  </si>
  <si>
    <t>2024 INSC 000 (made-up)</t>
  </si>
  <si>
    <t>15-03-2024</t>
  </si>
  <si>
    <t>Criminal appeal</t>
  </si>
  <si>
    <t>Individual</t>
  </si>
  <si>
    <t>Allowed</t>
  </si>
  <si>
    <t>s 438 CrPC</t>
  </si>
  <si>
    <t>Whether anticipatory bail can be limited to a fixed period.</t>
  </si>
  <si>
    <t>Bail granted; protection ordinarily lasts till the end of trial.</t>
  </si>
  <si>
    <t>Sushila Aggarwal v. State (NCT of Delhi)</t>
  </si>
  <si>
    <t>https://www.sci.gov.in/judgements/ (made-up)</t>
  </si>
  <si>
    <t>A. Deshmukh</t>
  </si>
  <si>
    <t>Counts for your charts (these update automatically from the Data sheet)</t>
  </si>
  <si>
    <t>Select a table below, then Insert &gt; Chart in Excel or Google Sheets. Save each chart as PNG.</t>
  </si>
  <si>
    <t>Judgments</t>
  </si>
  <si>
    <t>Dismissed</t>
  </si>
  <si>
    <t>Partly allowed</t>
  </si>
  <si>
    <t>Other</t>
  </si>
  <si>
    <t>Company</t>
  </si>
  <si>
    <t>State or public body</t>
  </si>
  <si>
    <t>Association or NGO</t>
  </si>
  <si>
    <t>Mixed or unclear</t>
  </si>
  <si>
    <t>Writ petition</t>
  </si>
  <si>
    <t>Civil appeal</t>
  </si>
  <si>
    <t>SLP</t>
  </si>
  <si>
    <t>Lists used by the dropdowns (do not edit)</t>
  </si>
  <si>
    <t>2. In the Data sheet, enter one row per judgment starting at row 6. Row 5 is a made-up example showing the format; leave it as it is.</t>
  </si>
  <si>
    <t>4. When done, rename this file data.xlsx. Also save the Data sheet as data.csv (File &gt; Save As &gt; CSV). Upload both to your GitHub repository.</t>
  </si>
  <si>
    <t>Copyright Act, 1957, Section - 57, Moral Rights of Authors</t>
  </si>
  <si>
    <t>Delhi High Court</t>
  </si>
  <si>
    <t>Team - 01</t>
  </si>
  <si>
    <t>Simran Pawar, Section - B</t>
  </si>
  <si>
    <t>Simran Manchanda, Section - B</t>
  </si>
  <si>
    <t>Sargam Gandotra, Section - B</t>
  </si>
  <si>
    <t>Medha Yugshree, Section - B</t>
  </si>
  <si>
    <t>Aude Priya Donatelle Wacziarg EP Engel &amp; Ors v. Pan Macmillan Publishing India Private Limited &amp; Ors</t>
  </si>
  <si>
    <t>S 57 of Copyright Act, 1957</t>
  </si>
  <si>
    <t>Whether the publication and circulation of "A Remarkable Friendship", including alleged defamatory statements and reproduction of private letters, violated the plaintiff's right to copyright, privacy, reputation etc.</t>
  </si>
  <si>
    <t>none</t>
  </si>
  <si>
    <t>http://www.scconline.com/DocumentLink/JUu95Ybq</t>
  </si>
  <si>
    <t>Simran Pawar</t>
  </si>
  <si>
    <t>St+Art India Foundation and Another v. Acko General Insurance</t>
  </si>
  <si>
    <t>Whether Acko's commercial use of the mural Humanity in advertisements infringed copyright or qualified for statutory exception concerning artistic works in public places</t>
  </si>
  <si>
    <t>The court directed Acko to remove online posts displaying the mural within 72 hours, while leaving the substantive question of copyright infringement and fair dealing open for adjudication.</t>
  </si>
  <si>
    <t>Section 2(c)(i) and Section 13(1)(a), 52(1) (t), 52 (1) (u) and 57of the Copyright Act, 1957.</t>
  </si>
  <si>
    <t>Yamini Manohar v. T.K.D Keerthi - For granting exemption from instituting pre-litigation mediation, under Section 12A of the Commercial Courts Act.</t>
  </si>
  <si>
    <t>http://www.scconline.com/DocumentLink/89tJ9tAc</t>
  </si>
  <si>
    <t>Medha Yugshree</t>
  </si>
  <si>
    <t>Envitech Consultants India Pvt. Ltd. v. Rudrabhishek Enterprises Limited &amp; Ors</t>
  </si>
  <si>
    <t>S(COMM) 892/2023, I.A. 25294/2023, I.A. 31835/2024 &amp; I.A. 32699/2024</t>
  </si>
  <si>
    <t>CS(COMM) 822/2023 And I.As. 22638/2023, 22639/2023, 22640/2023, 22641/2023, 22642/2023 &amp; 22643/2023</t>
  </si>
  <si>
    <t>CS(COMM) 568/2020 And I.As.12618-20/2020, 2691/2021</t>
  </si>
  <si>
    <t>Whether the plaintiff's copyright infringement suit over detailed project reports could be rejected at the threshold on the grounds tha the work belonged to the governement and that the damages claim was undervalued</t>
  </si>
  <si>
    <t>The defendant's application for rejection of plaint was dismissed because ownership questions required adjudication and examination on merits and the plaint disclosed a cause of action.</t>
  </si>
  <si>
    <t>Section 2(k), 17(d), 28, 55, 57 and 58 of the Copyright Act, 1957 and Order VII Rule 11 CPC</t>
  </si>
  <si>
    <t>Amar Nath Sehgal v. Union of India - for establishing COA and Cryogas Equipment (P) Ltd. v. Inox India Ltd. And Central Bank of India v. Prabha Jain - for rejection of plaint and dicussing merits of case while deciding whether Plaint discloses COA</t>
  </si>
  <si>
    <t>http://www.scconline.com/DocumentLink/qPUtCVRj</t>
  </si>
  <si>
    <t>Sargam Gandotra</t>
  </si>
  <si>
    <t>GAURAV GARG v. ALY MORANI &amp; Ors</t>
  </si>
  <si>
    <t>CS (Comm.) No. 200 of 2018</t>
  </si>
  <si>
    <t>Section 17( c) and s 57 of the Copyright Act</t>
  </si>
  <si>
    <t>Simran Manchanda</t>
  </si>
  <si>
    <t>The Suit was decreed by consent. The book could be published with agreed deletions, specified copyright related reliefs were granted, and certain claims were not pressed</t>
  </si>
  <si>
    <t>Wheter the plaintiff, who claimed to have conceptualised the IPL Awards event, was entitled to authorship attribution, protection of moral rights and  other reliefs despite the defendants' assertion that the the work was created during his employment</t>
  </si>
  <si>
    <t>The suit was dismissed as entitlement to relief under Section 57 of copyright act or proof of infringement was insufficient. The Plaintiff was held not to be owner of copyright due to insufficient evidence and unreliable documents and as per Sec. 17 ( c) of the Act.</t>
  </si>
  <si>
    <t>Rediff.com India Ltd. v. E-Eighteen.com Ltd.6 and Sanjay Kumar Gupta v. Sony Pictures Networks India (P) Ltd for scope of copyright</t>
  </si>
  <si>
    <t>http://www.scconline.com/DocumentLink/INCEN2Sx</t>
  </si>
  <si>
    <t>Raghvendra Dixit, Section - B</t>
  </si>
  <si>
    <t>Member 5 · name and section (if 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</si>
</sst>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6"/>
      <color rgb="FF1B2431"/>
      <name val="Arial"/>
      <family val="2"/>
    </font>
    <font>
      <sz val="9"/>
      <name val="Arial"/>
      <family val="2"/>
    </font>
    <font>
      <b/>
      <sz val="12"/>
      <color rgb="FF1B2431"/>
      <name val="Arial"/>
      <family val="2"/>
    </font>
    <font>
      <sz val="10"/>
      <name val="Arial"/>
      <family val="2"/>
    </font>
    <font>
      <b/>
      <sz val="14"/>
      <color rgb="FF1B2431"/>
      <name val="Arial"/>
      <family val="2"/>
    </font>
    <font>
      <b/>
      <sz val="10"/>
      <name val="Arial"/>
      <family val="2"/>
    </font>
    <font>
      <b/>
      <sz val="9"/>
      <color rgb="FFFFFFFF"/>
      <name val="Arial"/>
      <family val="2"/>
    </font>
    <font>
      <sz val="9"/>
      <color rgb="FF5A6472"/>
      <name val="Arial"/>
      <family val="2"/>
    </font>
    <font>
      <sz val="10"/>
      <name val="Arial"/>
      <family val="2"/>
    </font>
    <font>
      <u/>
      <sz val="11"/>
      <color theme="10"/>
      <name val="Calibri"/>
      <family val="2"/>
      <scheme val="minor"/>
    </font>
    <font>
      <b/>
      <sz val="9"/>
      <color rgb="FF1B2431"/>
      <name val="Arial"/>
      <family val="2"/>
    </font>
    <font>
      <sz val="9"/>
      <color theme="1"/>
      <name val="Arial"/>
      <family val="2"/>
    </font>
  </fonts>
  <fills count="5">
    <fill>
      <patternFill patternType="none"/>
    </fill>
    <fill>
      <patternFill patternType="gray125"/>
    </fill>
    <fill>
      <patternFill patternType="solid">
        <fgColor rgb="FFFFF7CC"/>
      </patternFill>
    </fill>
    <fill>
      <patternFill patternType="solid">
        <fgColor rgb="FF1B2431"/>
      </patternFill>
    </fill>
    <fill>
      <patternFill patternType="solid">
        <fgColor rgb="FFF2F2F0"/>
      </patternFill>
    </fill>
  </fills>
  <borders count="2">
    <border>
      <left/>
      <right/>
      <top/>
      <bottom/>
      <diagonal/>
    </border>
    <border>
      <left style="thin">
        <color rgb="FFD0D4D9"/>
      </left>
      <right style="thin">
        <color rgb="FFD0D4D9"/>
      </right>
      <top style="thin">
        <color rgb="FFD0D4D9"/>
      </top>
      <bottom style="thin">
        <color rgb="FFD0D4D9"/>
      </bottom>
      <diagonal/>
    </border>
  </borders>
  <cellStyleXfs count="2">
    <xf numFmtId="0" fontId="0" fillId="0" borderId="0"/>
    <xf numFmtId="0" fontId="10" fillId="0" borderId="0" applyNumberFormat="0" applyFill="0" applyBorder="0" applyAlignment="0" applyProtection="0"/>
  </cellStyleXfs>
  <cellXfs count="23">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xf numFmtId="0" fontId="6" fillId="0" borderId="0" xfId="0" applyFont="1"/>
    <xf numFmtId="0" fontId="4" fillId="2" borderId="1" xfId="0" applyFont="1" applyFill="1" applyBorder="1"/>
    <xf numFmtId="0" fontId="8" fillId="0" borderId="0" xfId="0" applyFont="1"/>
    <xf numFmtId="0" fontId="7" fillId="3" borderId="0" xfId="0" applyFont="1" applyFill="1" applyAlignment="1">
      <alignment vertical="top" wrapText="1"/>
    </xf>
    <xf numFmtId="0" fontId="8" fillId="4" borderId="1" xfId="0" applyFont="1" applyFill="1" applyBorder="1" applyAlignment="1">
      <alignment vertical="top" wrapText="1"/>
    </xf>
    <xf numFmtId="0" fontId="2" fillId="0" borderId="0" xfId="0" applyFont="1"/>
    <xf numFmtId="0" fontId="2" fillId="2" borderId="1" xfId="0" applyFont="1" applyFill="1" applyBorder="1" applyAlignment="1">
      <alignment vertical="top" wrapText="1"/>
    </xf>
    <xf numFmtId="0" fontId="3" fillId="0" borderId="0" xfId="0" applyFont="1"/>
    <xf numFmtId="0" fontId="7" fillId="3" borderId="0" xfId="0" applyFont="1" applyFill="1"/>
    <xf numFmtId="0" fontId="9" fillId="0" borderId="0" xfId="0" applyFont="1" applyAlignment="1">
      <alignment vertical="top" wrapText="1"/>
    </xf>
    <xf numFmtId="14" fontId="4" fillId="2" borderId="1" xfId="0" applyNumberFormat="1" applyFont="1" applyFill="1" applyBorder="1"/>
    <xf numFmtId="14" fontId="2" fillId="2" borderId="1" xfId="0" applyNumberFormat="1" applyFont="1" applyFill="1" applyBorder="1" applyAlignment="1">
      <alignment vertical="top" wrapText="1"/>
    </xf>
    <xf numFmtId="0" fontId="11" fillId="0" borderId="0" xfId="0" applyFont="1" applyAlignment="1">
      <alignment vertical="top"/>
    </xf>
    <xf numFmtId="0" fontId="12" fillId="0" borderId="0" xfId="0" applyFont="1" applyAlignment="1">
      <alignment vertical="top"/>
    </xf>
    <xf numFmtId="0" fontId="8" fillId="0" borderId="0" xfId="0" applyFont="1" applyAlignment="1">
      <alignment vertical="top"/>
    </xf>
    <xf numFmtId="0" fontId="2" fillId="0" borderId="0" xfId="0" applyFont="1" applyAlignment="1">
      <alignment vertical="top"/>
    </xf>
    <xf numFmtId="0" fontId="10" fillId="2" borderId="1" xfId="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colors>
    <mruColors>
      <color rgb="FFFCD3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www.scconline.com/DocumentLink/qPUtCVRj" TargetMode="External"/><Relationship Id="rId2" Type="http://schemas.openxmlformats.org/officeDocument/2006/relationships/hyperlink" Target="http://www.scconline.com/DocumentLink/89tJ9tAc" TargetMode="External"/><Relationship Id="rId1" Type="http://schemas.openxmlformats.org/officeDocument/2006/relationships/hyperlink" Target="http://www.scconline.com/DocumentLink/INCEN2Sx" TargetMode="External"/><Relationship Id="rId4" Type="http://schemas.openxmlformats.org/officeDocument/2006/relationships/hyperlink" Target="http://www.scconline.com/DocumentLink/JUu95Yb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9"/>
  <sheetViews>
    <sheetView workbookViewId="0">
      <selection activeCell="B21" sqref="B21"/>
    </sheetView>
  </sheetViews>
  <sheetFormatPr defaultColWidth="8.77734375" defaultRowHeight="14.4" x14ac:dyDescent="0.3"/>
  <cols>
    <col min="1" max="1" width="3" customWidth="1"/>
    <col min="2" max="2" width="105" customWidth="1"/>
  </cols>
  <sheetData>
    <row r="2" spans="2:2" ht="36" customHeight="1" x14ac:dyDescent="0.3">
      <c r="B2" s="1" t="s">
        <v>0</v>
      </c>
    </row>
    <row r="3" spans="2:2" ht="16.05" customHeight="1" x14ac:dyDescent="0.3">
      <c r="B3" s="2"/>
    </row>
    <row r="4" spans="2:2" ht="18" customHeight="1" x14ac:dyDescent="0.3">
      <c r="B4" s="3" t="s">
        <v>1</v>
      </c>
    </row>
    <row r="5" spans="2:2" ht="16.05" customHeight="1" x14ac:dyDescent="0.3">
      <c r="B5" s="4" t="s">
        <v>2</v>
      </c>
    </row>
    <row r="6" spans="2:2" ht="30" customHeight="1" x14ac:dyDescent="0.3">
      <c r="B6" s="15" t="s">
        <v>60</v>
      </c>
    </row>
    <row r="7" spans="2:2" ht="30" customHeight="1" x14ac:dyDescent="0.3">
      <c r="B7" s="4" t="s">
        <v>3</v>
      </c>
    </row>
    <row r="8" spans="2:2" ht="30" customHeight="1" x14ac:dyDescent="0.3">
      <c r="B8" s="15" t="s">
        <v>61</v>
      </c>
    </row>
    <row r="9" spans="2:2" ht="16.05" customHeight="1" x14ac:dyDescent="0.3">
      <c r="B9" s="4" t="s">
        <v>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13"/>
  <sheetViews>
    <sheetView topLeftCell="A5" workbookViewId="0">
      <selection activeCell="B12" sqref="B12"/>
    </sheetView>
  </sheetViews>
  <sheetFormatPr defaultColWidth="8.77734375" defaultRowHeight="14.4" x14ac:dyDescent="0.3"/>
  <cols>
    <col min="1" max="1" width="3" customWidth="1"/>
    <col min="2" max="2" width="32" customWidth="1"/>
    <col min="3" max="3" width="50" customWidth="1"/>
  </cols>
  <sheetData>
    <row r="2" spans="2:3" ht="17.399999999999999" x14ac:dyDescent="0.3">
      <c r="B2" s="5" t="s">
        <v>5</v>
      </c>
    </row>
    <row r="4" spans="2:3" x14ac:dyDescent="0.3">
      <c r="B4" s="6" t="s">
        <v>6</v>
      </c>
      <c r="C4" s="7" t="s">
        <v>62</v>
      </c>
    </row>
    <row r="5" spans="2:3" x14ac:dyDescent="0.3">
      <c r="B5" s="6" t="s">
        <v>7</v>
      </c>
      <c r="C5" s="7" t="s">
        <v>63</v>
      </c>
    </row>
    <row r="6" spans="2:3" x14ac:dyDescent="0.3">
      <c r="B6" s="6" t="s">
        <v>8</v>
      </c>
      <c r="C6" s="7" t="s">
        <v>64</v>
      </c>
    </row>
    <row r="7" spans="2:3" x14ac:dyDescent="0.3">
      <c r="B7" s="6" t="s">
        <v>9</v>
      </c>
      <c r="C7" s="7"/>
    </row>
    <row r="8" spans="2:3" x14ac:dyDescent="0.3">
      <c r="B8" s="6" t="s">
        <v>10</v>
      </c>
      <c r="C8" s="7" t="s">
        <v>65</v>
      </c>
    </row>
    <row r="9" spans="2:3" x14ac:dyDescent="0.3">
      <c r="B9" s="6" t="s">
        <v>11</v>
      </c>
      <c r="C9" s="7" t="s">
        <v>66</v>
      </c>
    </row>
    <row r="10" spans="2:3" x14ac:dyDescent="0.3">
      <c r="B10" s="6" t="s">
        <v>12</v>
      </c>
      <c r="C10" s="7" t="s">
        <v>67</v>
      </c>
    </row>
    <row r="11" spans="2:3" x14ac:dyDescent="0.3">
      <c r="B11" s="6" t="s">
        <v>13</v>
      </c>
      <c r="C11" s="7" t="s">
        <v>68</v>
      </c>
    </row>
    <row r="12" spans="2:3" x14ac:dyDescent="0.3">
      <c r="B12" s="6" t="s">
        <v>102</v>
      </c>
      <c r="C12" s="16" t="s">
        <v>101</v>
      </c>
    </row>
    <row r="13" spans="2:3" x14ac:dyDescent="0.3">
      <c r="B13" s="6" t="s">
        <v>14</v>
      </c>
      <c r="C13" s="16">
        <v>46320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5"/>
  <sheetViews>
    <sheetView tabSelected="1" workbookViewId="0">
      <pane xSplit="2" ySplit="4" topLeftCell="M5" activePane="bottomRight" state="frozen"/>
      <selection pane="topRight"/>
      <selection pane="bottomLeft"/>
      <selection pane="bottomRight" activeCell="N8" sqref="N8"/>
    </sheetView>
  </sheetViews>
  <sheetFormatPr defaultColWidth="8.77734375" defaultRowHeight="11.4" x14ac:dyDescent="0.3"/>
  <cols>
    <col min="1" max="1" width="4" style="19" customWidth="1"/>
    <col min="2" max="2" width="32" style="19" customWidth="1"/>
    <col min="3" max="3" width="22" style="19" customWidth="1"/>
    <col min="4" max="4" width="14" style="19" customWidth="1"/>
    <col min="5" max="5" width="7" style="19" customWidth="1"/>
    <col min="6" max="6" width="8" style="19" customWidth="1"/>
    <col min="7" max="7" width="16" style="19" customWidth="1"/>
    <col min="8" max="8" width="20" style="19" customWidth="1"/>
    <col min="9" max="9" width="14" style="19" customWidth="1"/>
    <col min="10" max="10" width="20" style="19" customWidth="1"/>
    <col min="11" max="11" width="18" style="19" customWidth="1"/>
    <col min="12" max="13" width="40" style="19" customWidth="1"/>
    <col min="14" max="14" width="28" style="19" customWidth="1"/>
    <col min="15" max="15" width="30" style="19" customWidth="1"/>
    <col min="16" max="16" width="16" style="19" customWidth="1"/>
    <col min="17" max="16384" width="8.77734375" style="19"/>
  </cols>
  <sheetData>
    <row r="1" spans="1:16" ht="12" x14ac:dyDescent="0.3">
      <c r="A1" s="18" t="s">
        <v>15</v>
      </c>
    </row>
    <row r="2" spans="1:16" x14ac:dyDescent="0.3">
      <c r="A2" s="20" t="s">
        <v>16</v>
      </c>
    </row>
    <row r="4" spans="1:16" ht="36" customHeight="1" x14ac:dyDescent="0.3">
      <c r="A4" s="9" t="s">
        <v>17</v>
      </c>
      <c r="B4" s="9" t="s">
        <v>18</v>
      </c>
      <c r="C4" s="9" t="s">
        <v>19</v>
      </c>
      <c r="D4" s="9" t="s">
        <v>20</v>
      </c>
      <c r="E4" s="9" t="s">
        <v>21</v>
      </c>
      <c r="F4" s="9" t="s">
        <v>22</v>
      </c>
      <c r="G4" s="9" t="s">
        <v>23</v>
      </c>
      <c r="H4" s="9" t="s">
        <v>24</v>
      </c>
      <c r="I4" s="9" t="s">
        <v>25</v>
      </c>
      <c r="J4" s="9" t="s">
        <v>26</v>
      </c>
      <c r="K4" s="9" t="s">
        <v>27</v>
      </c>
      <c r="L4" s="9" t="s">
        <v>28</v>
      </c>
      <c r="M4" s="9" t="s">
        <v>29</v>
      </c>
      <c r="N4" s="9" t="s">
        <v>30</v>
      </c>
      <c r="O4" s="9" t="s">
        <v>31</v>
      </c>
      <c r="P4" s="9" t="s">
        <v>32</v>
      </c>
    </row>
    <row r="5" spans="1:16" ht="45" customHeight="1" x14ac:dyDescent="0.3">
      <c r="A5" s="10" t="s">
        <v>33</v>
      </c>
      <c r="B5" s="10" t="s">
        <v>34</v>
      </c>
      <c r="C5" s="10" t="s">
        <v>35</v>
      </c>
      <c r="D5" s="10" t="s">
        <v>36</v>
      </c>
      <c r="E5" s="10">
        <v>2024</v>
      </c>
      <c r="F5" s="10">
        <v>2</v>
      </c>
      <c r="G5" s="10" t="s">
        <v>37</v>
      </c>
      <c r="H5" s="10" t="s">
        <v>38</v>
      </c>
      <c r="I5" s="10" t="s">
        <v>39</v>
      </c>
      <c r="J5" s="10" t="s">
        <v>38</v>
      </c>
      <c r="K5" s="10" t="s">
        <v>40</v>
      </c>
      <c r="L5" s="10" t="s">
        <v>41</v>
      </c>
      <c r="M5" s="10" t="s">
        <v>42</v>
      </c>
      <c r="N5" s="10" t="s">
        <v>43</v>
      </c>
      <c r="O5" s="10" t="s">
        <v>44</v>
      </c>
      <c r="P5" s="10" t="s">
        <v>45</v>
      </c>
    </row>
    <row r="6" spans="1:16" ht="40.049999999999997" customHeight="1" x14ac:dyDescent="0.3">
      <c r="A6" s="21">
        <v>1</v>
      </c>
      <c r="B6" s="12" t="s">
        <v>69</v>
      </c>
      <c r="C6" s="12" t="s">
        <v>85</v>
      </c>
      <c r="D6" s="17">
        <v>45184</v>
      </c>
      <c r="E6" s="12">
        <v>2023</v>
      </c>
      <c r="F6" s="12">
        <v>1</v>
      </c>
      <c r="G6" s="12" t="s">
        <v>51</v>
      </c>
      <c r="H6" s="12" t="s">
        <v>51</v>
      </c>
      <c r="I6" s="12" t="s">
        <v>50</v>
      </c>
      <c r="J6" s="12" t="s">
        <v>55</v>
      </c>
      <c r="K6" s="12" t="s">
        <v>70</v>
      </c>
      <c r="L6" s="12" t="s">
        <v>71</v>
      </c>
      <c r="M6" s="12" t="s">
        <v>96</v>
      </c>
      <c r="N6" s="12" t="s">
        <v>72</v>
      </c>
      <c r="O6" s="22" t="s">
        <v>100</v>
      </c>
      <c r="P6" s="12" t="s">
        <v>95</v>
      </c>
    </row>
    <row r="7" spans="1:16" ht="40.049999999999997" customHeight="1" x14ac:dyDescent="0.3">
      <c r="A7" s="21">
        <v>2</v>
      </c>
      <c r="B7" s="12" t="s">
        <v>75</v>
      </c>
      <c r="C7" s="12" t="s">
        <v>84</v>
      </c>
      <c r="D7" s="17">
        <v>45240</v>
      </c>
      <c r="E7" s="12">
        <v>2023</v>
      </c>
      <c r="F7" s="12">
        <v>1</v>
      </c>
      <c r="G7" s="12" t="s">
        <v>51</v>
      </c>
      <c r="H7" s="12" t="s">
        <v>54</v>
      </c>
      <c r="I7" s="12" t="s">
        <v>51</v>
      </c>
      <c r="J7" s="12" t="s">
        <v>55</v>
      </c>
      <c r="K7" s="12" t="s">
        <v>78</v>
      </c>
      <c r="L7" s="12" t="s">
        <v>76</v>
      </c>
      <c r="M7" s="12" t="s">
        <v>77</v>
      </c>
      <c r="N7" s="12" t="s">
        <v>79</v>
      </c>
      <c r="O7" s="22" t="s">
        <v>80</v>
      </c>
      <c r="P7" s="12" t="s">
        <v>81</v>
      </c>
    </row>
    <row r="8" spans="1:16" ht="40.049999999999997" customHeight="1" x14ac:dyDescent="0.3">
      <c r="A8" s="21">
        <v>3</v>
      </c>
      <c r="B8" s="12" t="s">
        <v>82</v>
      </c>
      <c r="C8" s="12" t="s">
        <v>83</v>
      </c>
      <c r="D8" s="17">
        <v>45985</v>
      </c>
      <c r="E8" s="12">
        <v>2025</v>
      </c>
      <c r="F8" s="12">
        <v>1</v>
      </c>
      <c r="G8" s="12" t="s">
        <v>51</v>
      </c>
      <c r="H8" s="12" t="s">
        <v>52</v>
      </c>
      <c r="I8" s="12" t="s">
        <v>49</v>
      </c>
      <c r="J8" s="12" t="s">
        <v>52</v>
      </c>
      <c r="K8" s="12" t="s">
        <v>88</v>
      </c>
      <c r="L8" s="12" t="s">
        <v>86</v>
      </c>
      <c r="M8" s="12" t="s">
        <v>87</v>
      </c>
      <c r="N8" s="12" t="s">
        <v>89</v>
      </c>
      <c r="O8" s="22" t="s">
        <v>90</v>
      </c>
      <c r="P8" s="12" t="s">
        <v>91</v>
      </c>
    </row>
    <row r="9" spans="1:16" ht="40.049999999999997" customHeight="1" x14ac:dyDescent="0.3">
      <c r="A9" s="21">
        <v>4</v>
      </c>
      <c r="B9" s="12" t="s">
        <v>92</v>
      </c>
      <c r="C9" s="12" t="s">
        <v>93</v>
      </c>
      <c r="D9" s="17">
        <v>46031</v>
      </c>
      <c r="E9" s="12">
        <v>2026</v>
      </c>
      <c r="F9" s="12">
        <v>1</v>
      </c>
      <c r="G9" s="12" t="s">
        <v>51</v>
      </c>
      <c r="H9" s="12" t="s">
        <v>38</v>
      </c>
      <c r="I9" s="12" t="s">
        <v>49</v>
      </c>
      <c r="J9" s="12" t="s">
        <v>52</v>
      </c>
      <c r="K9" s="12" t="s">
        <v>94</v>
      </c>
      <c r="L9" s="12" t="s">
        <v>97</v>
      </c>
      <c r="M9" s="12" t="s">
        <v>98</v>
      </c>
      <c r="N9" s="12" t="s">
        <v>99</v>
      </c>
      <c r="O9" s="22" t="s">
        <v>73</v>
      </c>
      <c r="P9" s="12" t="s">
        <v>74</v>
      </c>
    </row>
    <row r="10" spans="1:16" ht="40.049999999999997" customHeight="1" x14ac:dyDescent="0.3">
      <c r="A10" s="21"/>
      <c r="B10" s="12"/>
      <c r="C10" s="12"/>
      <c r="D10" s="12"/>
      <c r="E10" s="12"/>
      <c r="F10" s="12"/>
      <c r="G10" s="12"/>
      <c r="H10" s="12"/>
      <c r="I10" s="12"/>
      <c r="J10" s="12"/>
      <c r="K10" s="12"/>
      <c r="L10" s="12"/>
      <c r="M10" s="12"/>
      <c r="N10" s="12"/>
      <c r="O10" s="12"/>
      <c r="P10" s="12"/>
    </row>
    <row r="11" spans="1:16" ht="40.049999999999997" customHeight="1" x14ac:dyDescent="0.3">
      <c r="A11" s="21"/>
      <c r="B11" s="12"/>
      <c r="C11" s="12"/>
      <c r="D11" s="12"/>
      <c r="E11" s="12"/>
      <c r="F11" s="12"/>
      <c r="G11" s="12"/>
      <c r="H11" s="12"/>
      <c r="I11" s="12"/>
      <c r="J11" s="12"/>
      <c r="K11" s="12"/>
      <c r="L11" s="12"/>
      <c r="M11" s="12"/>
      <c r="N11" s="12"/>
      <c r="O11" s="12"/>
      <c r="P11" s="12"/>
    </row>
    <row r="12" spans="1:16" ht="40.049999999999997" customHeight="1" x14ac:dyDescent="0.3">
      <c r="A12" s="21"/>
      <c r="B12" s="12"/>
      <c r="C12" s="12"/>
      <c r="D12" s="12"/>
      <c r="E12" s="12"/>
      <c r="F12" s="12"/>
      <c r="G12" s="12"/>
      <c r="H12" s="12"/>
      <c r="I12" s="12"/>
      <c r="J12" s="12"/>
      <c r="K12" s="12"/>
      <c r="L12" s="12"/>
      <c r="M12" s="12"/>
      <c r="N12" s="12"/>
      <c r="O12" s="12"/>
      <c r="P12" s="12"/>
    </row>
    <row r="13" spans="1:16" ht="40.049999999999997" customHeight="1" x14ac:dyDescent="0.3">
      <c r="A13" s="21"/>
      <c r="B13" s="12"/>
      <c r="C13" s="12"/>
      <c r="D13" s="12"/>
      <c r="E13" s="12"/>
      <c r="F13" s="12"/>
      <c r="G13" s="12"/>
      <c r="H13" s="12"/>
      <c r="I13" s="12"/>
      <c r="J13" s="12"/>
      <c r="K13" s="12"/>
      <c r="L13" s="12"/>
      <c r="M13" s="12"/>
      <c r="N13" s="12"/>
      <c r="O13" s="12"/>
      <c r="P13" s="12"/>
    </row>
    <row r="14" spans="1:16" ht="40.049999999999997" customHeight="1" x14ac:dyDescent="0.3">
      <c r="A14" s="21"/>
      <c r="B14" s="12"/>
      <c r="C14" s="12"/>
      <c r="D14" s="12"/>
      <c r="E14" s="12"/>
      <c r="F14" s="12"/>
      <c r="G14" s="12"/>
      <c r="H14" s="12"/>
      <c r="I14" s="12"/>
      <c r="J14" s="12"/>
      <c r="K14" s="12"/>
      <c r="L14" s="12"/>
      <c r="M14" s="12"/>
      <c r="N14" s="12"/>
      <c r="O14" s="12"/>
      <c r="P14" s="12"/>
    </row>
    <row r="15" spans="1:16" ht="40.049999999999997" customHeight="1" x14ac:dyDescent="0.3">
      <c r="A15" s="21"/>
      <c r="B15" s="12"/>
      <c r="C15" s="12"/>
      <c r="D15" s="12"/>
      <c r="E15" s="12"/>
      <c r="F15" s="12"/>
      <c r="G15" s="12"/>
      <c r="H15" s="12"/>
      <c r="I15" s="12"/>
      <c r="J15" s="12"/>
      <c r="K15" s="12"/>
      <c r="L15" s="12"/>
      <c r="M15" s="12"/>
      <c r="N15" s="12"/>
      <c r="O15" s="12"/>
      <c r="P15" s="12"/>
    </row>
    <row r="16" spans="1:16" ht="40.049999999999997" customHeight="1" x14ac:dyDescent="0.3">
      <c r="A16" s="21"/>
      <c r="B16" s="12"/>
      <c r="C16" s="12"/>
      <c r="D16" s="12"/>
      <c r="E16" s="12"/>
      <c r="F16" s="12"/>
      <c r="G16" s="12"/>
      <c r="H16" s="12"/>
      <c r="I16" s="12"/>
      <c r="J16" s="12"/>
      <c r="K16" s="12"/>
      <c r="L16" s="12"/>
      <c r="M16" s="12"/>
      <c r="N16" s="12"/>
      <c r="O16" s="12"/>
      <c r="P16" s="12"/>
    </row>
    <row r="17" spans="1:16" ht="40.049999999999997" customHeight="1" x14ac:dyDescent="0.3">
      <c r="A17" s="21"/>
      <c r="B17" s="12"/>
      <c r="C17" s="12"/>
      <c r="D17" s="12"/>
      <c r="E17" s="12"/>
      <c r="F17" s="12"/>
      <c r="G17" s="12"/>
      <c r="H17" s="12"/>
      <c r="I17" s="12"/>
      <c r="J17" s="12"/>
      <c r="K17" s="12"/>
      <c r="L17" s="12"/>
      <c r="M17" s="12"/>
      <c r="N17" s="12"/>
      <c r="O17" s="12"/>
      <c r="P17" s="12"/>
    </row>
    <row r="18" spans="1:16" ht="40.049999999999997" customHeight="1" x14ac:dyDescent="0.3">
      <c r="A18" s="21"/>
      <c r="B18" s="12"/>
      <c r="C18" s="12"/>
      <c r="D18" s="12"/>
      <c r="E18" s="12"/>
      <c r="F18" s="12"/>
      <c r="G18" s="12"/>
      <c r="H18" s="12"/>
      <c r="I18" s="12"/>
      <c r="J18" s="12"/>
      <c r="K18" s="12"/>
      <c r="L18" s="12"/>
      <c r="M18" s="12"/>
      <c r="N18" s="12"/>
      <c r="O18" s="12"/>
      <c r="P18" s="12"/>
    </row>
    <row r="19" spans="1:16" ht="40.049999999999997" customHeight="1" x14ac:dyDescent="0.3">
      <c r="A19" s="21"/>
      <c r="B19" s="12"/>
      <c r="C19" s="12"/>
      <c r="D19" s="12"/>
      <c r="E19" s="12"/>
      <c r="F19" s="12"/>
      <c r="G19" s="12"/>
      <c r="H19" s="12"/>
      <c r="I19" s="12"/>
      <c r="J19" s="12"/>
      <c r="K19" s="12"/>
      <c r="L19" s="12"/>
      <c r="M19" s="12"/>
      <c r="N19" s="12"/>
      <c r="O19" s="12"/>
      <c r="P19" s="12"/>
    </row>
    <row r="20" spans="1:16" ht="40.049999999999997" customHeight="1" x14ac:dyDescent="0.3">
      <c r="A20" s="21"/>
      <c r="B20" s="12"/>
      <c r="C20" s="12"/>
      <c r="D20" s="12"/>
      <c r="E20" s="12"/>
      <c r="F20" s="12"/>
      <c r="G20" s="12"/>
      <c r="H20" s="12"/>
      <c r="I20" s="12"/>
      <c r="J20" s="12"/>
      <c r="K20" s="12"/>
      <c r="L20" s="12"/>
      <c r="M20" s="12"/>
      <c r="N20" s="12"/>
      <c r="O20" s="12"/>
      <c r="P20" s="12"/>
    </row>
    <row r="21" spans="1:16" ht="40.049999999999997" customHeight="1" x14ac:dyDescent="0.3">
      <c r="A21" s="21"/>
      <c r="B21" s="12"/>
      <c r="C21" s="12"/>
      <c r="D21" s="12"/>
      <c r="E21" s="12"/>
      <c r="F21" s="12"/>
      <c r="G21" s="12"/>
      <c r="H21" s="12"/>
      <c r="I21" s="12"/>
      <c r="J21" s="12"/>
      <c r="K21" s="12"/>
      <c r="L21" s="12"/>
      <c r="M21" s="12"/>
      <c r="N21" s="12"/>
      <c r="O21" s="12"/>
      <c r="P21" s="12"/>
    </row>
    <row r="22" spans="1:16" ht="40.049999999999997" customHeight="1" x14ac:dyDescent="0.3">
      <c r="A22" s="21"/>
      <c r="B22" s="12"/>
      <c r="C22" s="12"/>
      <c r="D22" s="12"/>
      <c r="E22" s="12"/>
      <c r="F22" s="12"/>
      <c r="G22" s="12"/>
      <c r="H22" s="12"/>
      <c r="I22" s="12"/>
      <c r="J22" s="12"/>
      <c r="K22" s="12"/>
      <c r="L22" s="12"/>
      <c r="M22" s="12"/>
      <c r="N22" s="12"/>
      <c r="O22" s="12"/>
      <c r="P22" s="12"/>
    </row>
    <row r="23" spans="1:16" ht="40.049999999999997" customHeight="1" x14ac:dyDescent="0.3">
      <c r="A23" s="21"/>
      <c r="B23" s="12"/>
      <c r="C23" s="12"/>
      <c r="D23" s="12"/>
      <c r="E23" s="12"/>
      <c r="F23" s="12"/>
      <c r="G23" s="12"/>
      <c r="H23" s="12"/>
      <c r="I23" s="12"/>
      <c r="J23" s="12"/>
      <c r="K23" s="12"/>
      <c r="L23" s="12"/>
      <c r="M23" s="12"/>
      <c r="N23" s="12"/>
      <c r="O23" s="12"/>
      <c r="P23" s="12"/>
    </row>
    <row r="24" spans="1:16" ht="40.049999999999997" customHeight="1" x14ac:dyDescent="0.3">
      <c r="A24" s="21"/>
      <c r="B24" s="12"/>
      <c r="C24" s="12"/>
      <c r="D24" s="12"/>
      <c r="E24" s="12"/>
      <c r="F24" s="12"/>
      <c r="G24" s="12"/>
      <c r="H24" s="12"/>
      <c r="I24" s="12"/>
      <c r="J24" s="12"/>
      <c r="K24" s="12"/>
      <c r="L24" s="12"/>
      <c r="M24" s="12"/>
      <c r="N24" s="12"/>
      <c r="O24" s="12"/>
      <c r="P24" s="12"/>
    </row>
    <row r="25" spans="1:16" ht="40.049999999999997" customHeight="1" x14ac:dyDescent="0.3">
      <c r="A25" s="21"/>
      <c r="B25" s="12"/>
      <c r="C25" s="12"/>
      <c r="D25" s="12"/>
      <c r="E25" s="12"/>
      <c r="F25" s="12"/>
      <c r="G25" s="12"/>
      <c r="H25" s="12"/>
      <c r="I25" s="12"/>
      <c r="J25" s="12"/>
      <c r="K25" s="12"/>
      <c r="L25" s="12"/>
      <c r="M25" s="12"/>
      <c r="N25" s="12"/>
      <c r="O25" s="12"/>
      <c r="P25" s="12"/>
    </row>
  </sheetData>
  <dataValidations count="1">
    <dataValidation type="whole" showErrorMessage="1" errorTitle="Year" error="Enter a year between 2021 and 2026 as a number." sqref="E6:E9 E11:E25" xr:uid="{00000000-0002-0000-0200-000004000000}">
      <formula1>2021</formula1>
      <formula2>2026</formula2>
    </dataValidation>
  </dataValidations>
  <hyperlinks>
    <hyperlink ref="O6" r:id="rId1" xr:uid="{66FE42DA-0E2C-4FA3-AE4A-98E5A11427A3}"/>
    <hyperlink ref="O7" r:id="rId2" xr:uid="{B2D5B7E5-D98A-498B-8721-0A3575A594ED}"/>
    <hyperlink ref="O8" r:id="rId3" xr:uid="{86A37721-769A-425B-AAC6-0D96F2AFCAD5}"/>
    <hyperlink ref="O9" r:id="rId4" xr:uid="{F842C5A0-7035-4F7C-8F7E-17CE14756141}"/>
  </hyperlinks>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showErrorMessage="1" errorTitle="Pick from the list" error="Choose one of the listed values (see Vocabularies sheet)." xr:uid="{00000000-0002-0000-0200-000000000000}">
          <x14:formula1>
            <xm:f>Vocabularies!$A$3:$A$7</xm:f>
          </x14:formula1>
          <xm:sqref>G6:G9 G11:G25</xm:sqref>
        </x14:dataValidation>
        <x14:dataValidation type="list" allowBlank="1" showErrorMessage="1" errorTitle="Pick from the list" error="Choose one of the listed values (see Vocabularies sheet)." xr:uid="{00000000-0002-0000-0200-000001000000}">
          <x14:formula1>
            <xm:f>Vocabularies!$B$3:$B$7</xm:f>
          </x14:formula1>
          <xm:sqref>H6:H9 H11:H25</xm:sqref>
        </x14:dataValidation>
        <x14:dataValidation type="list" allowBlank="1" showErrorMessage="1" errorTitle="Pick from the list" error="Choose one of the listed values (see Vocabularies sheet)." xr:uid="{00000000-0002-0000-0200-000002000000}">
          <x14:formula1>
            <xm:f>Vocabularies!$C$3:$C$6</xm:f>
          </x14:formula1>
          <xm:sqref>I6:I9 I11:I25</xm:sqref>
        </x14:dataValidation>
        <x14:dataValidation type="list" allowBlank="1" showErrorMessage="1" errorTitle="Pick from the list" error="Choose one of the listed values (see Vocabularies sheet)." xr:uid="{00000000-0002-0000-0200-000003000000}">
          <x14:formula1>
            <xm:f>Vocabularies!$D$3:$D$7</xm:f>
          </x14:formula1>
          <xm:sqref>J6:J9 J11:J25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7"/>
  <sheetViews>
    <sheetView workbookViewId="0">
      <selection activeCell="B29" sqref="B29"/>
    </sheetView>
  </sheetViews>
  <sheetFormatPr defaultColWidth="8.77734375" defaultRowHeight="14.4" x14ac:dyDescent="0.3"/>
  <cols>
    <col min="1" max="1" width="26" customWidth="1"/>
    <col min="2" max="2" width="12" customWidth="1"/>
  </cols>
  <sheetData>
    <row r="1" spans="1:2" ht="15.6" x14ac:dyDescent="0.3">
      <c r="A1" s="13" t="s">
        <v>46</v>
      </c>
    </row>
    <row r="2" spans="1:2" x14ac:dyDescent="0.3">
      <c r="A2" s="8" t="s">
        <v>47</v>
      </c>
    </row>
    <row r="4" spans="1:2" x14ac:dyDescent="0.3">
      <c r="A4" s="14" t="s">
        <v>21</v>
      </c>
      <c r="B4" s="14" t="s">
        <v>48</v>
      </c>
    </row>
    <row r="5" spans="1:2" x14ac:dyDescent="0.3">
      <c r="A5" s="11">
        <v>2021</v>
      </c>
      <c r="B5" s="11">
        <f>COUNTIF(Dataset!E$6:E$25,A5)</f>
        <v>0</v>
      </c>
    </row>
    <row r="6" spans="1:2" x14ac:dyDescent="0.3">
      <c r="A6" s="11">
        <v>2022</v>
      </c>
      <c r="B6" s="11">
        <f>COUNTIF(Dataset!E$6:E$25,A6)</f>
        <v>0</v>
      </c>
    </row>
    <row r="7" spans="1:2" x14ac:dyDescent="0.3">
      <c r="A7" s="11">
        <v>2023</v>
      </c>
      <c r="B7" s="11">
        <f>COUNTIF(Dataset!E$6:E$25,A7)</f>
        <v>2</v>
      </c>
    </row>
    <row r="8" spans="1:2" x14ac:dyDescent="0.3">
      <c r="A8" s="11">
        <v>2024</v>
      </c>
      <c r="B8" s="11">
        <f>COUNTIF(Dataset!E$6:E$25,A8)</f>
        <v>0</v>
      </c>
    </row>
    <row r="9" spans="1:2" x14ac:dyDescent="0.3">
      <c r="A9" s="11">
        <v>2025</v>
      </c>
      <c r="B9" s="11">
        <f>COUNTIF(Dataset!E$6:E$25,A9)</f>
        <v>1</v>
      </c>
    </row>
    <row r="10" spans="1:2" x14ac:dyDescent="0.3">
      <c r="A10" s="11">
        <v>2026</v>
      </c>
      <c r="B10" s="11">
        <f>COUNTIF(Dataset!E$6:E$25,A10)</f>
        <v>1</v>
      </c>
    </row>
    <row r="12" spans="1:2" x14ac:dyDescent="0.3">
      <c r="A12" s="14" t="s">
        <v>25</v>
      </c>
      <c r="B12" s="14" t="s">
        <v>48</v>
      </c>
    </row>
    <row r="13" spans="1:2" x14ac:dyDescent="0.3">
      <c r="A13" s="11" t="s">
        <v>39</v>
      </c>
      <c r="B13" s="11">
        <f>COUNTIF(Dataset!I$6:I$25,A13)</f>
        <v>0</v>
      </c>
    </row>
    <row r="14" spans="1:2" x14ac:dyDescent="0.3">
      <c r="A14" s="11" t="s">
        <v>49</v>
      </c>
      <c r="B14" s="11">
        <f>COUNTIF(Dataset!I$6:I$25,A14)</f>
        <v>2</v>
      </c>
    </row>
    <row r="15" spans="1:2" x14ac:dyDescent="0.3">
      <c r="A15" s="11" t="s">
        <v>50</v>
      </c>
      <c r="B15" s="11">
        <f>COUNTIF(Dataset!I$6:I$25,A15)</f>
        <v>1</v>
      </c>
    </row>
    <row r="16" spans="1:2" x14ac:dyDescent="0.3">
      <c r="A16" s="11" t="s">
        <v>51</v>
      </c>
      <c r="B16" s="11">
        <f>COUNTIF(Dataset!I$6:I$25,A16)</f>
        <v>1</v>
      </c>
    </row>
    <row r="18" spans="1:2" x14ac:dyDescent="0.3">
      <c r="A18" s="14" t="s">
        <v>24</v>
      </c>
      <c r="B18" s="14" t="s">
        <v>48</v>
      </c>
    </row>
    <row r="19" spans="1:2" x14ac:dyDescent="0.3">
      <c r="A19" s="11" t="s">
        <v>38</v>
      </c>
      <c r="B19" s="11">
        <f>COUNTIF(Dataset!H$6:H$25,A19)</f>
        <v>1</v>
      </c>
    </row>
    <row r="20" spans="1:2" x14ac:dyDescent="0.3">
      <c r="A20" s="11" t="s">
        <v>52</v>
      </c>
      <c r="B20" s="11">
        <f>COUNTIF(Dataset!H$6:H$25,A20)</f>
        <v>1</v>
      </c>
    </row>
    <row r="21" spans="1:2" x14ac:dyDescent="0.3">
      <c r="A21" s="11" t="s">
        <v>53</v>
      </c>
      <c r="B21" s="11">
        <f>COUNTIF(Dataset!H$6:H$25,A21)</f>
        <v>0</v>
      </c>
    </row>
    <row r="22" spans="1:2" x14ac:dyDescent="0.3">
      <c r="A22" s="11" t="s">
        <v>54</v>
      </c>
      <c r="B22" s="11">
        <f>COUNTIF(Dataset!H$6:H$25,A22)</f>
        <v>1</v>
      </c>
    </row>
    <row r="23" spans="1:2" x14ac:dyDescent="0.3">
      <c r="A23" s="11" t="s">
        <v>51</v>
      </c>
      <c r="B23" s="11">
        <f>COUNTIF(Dataset!H$6:H$25,A23)</f>
        <v>1</v>
      </c>
    </row>
    <row r="25" spans="1:2" x14ac:dyDescent="0.3">
      <c r="A25" s="14" t="s">
        <v>26</v>
      </c>
      <c r="B25" s="14" t="s">
        <v>48</v>
      </c>
    </row>
    <row r="26" spans="1:2" x14ac:dyDescent="0.3">
      <c r="A26" s="11" t="s">
        <v>38</v>
      </c>
      <c r="B26" s="11">
        <f>COUNTIF(Dataset!J$6:J$25,A26)</f>
        <v>0</v>
      </c>
    </row>
    <row r="27" spans="1:2" x14ac:dyDescent="0.3">
      <c r="A27" s="11" t="s">
        <v>52</v>
      </c>
      <c r="B27" s="11">
        <f>COUNTIF(Dataset!J$6:J$25,A27)</f>
        <v>2</v>
      </c>
    </row>
    <row r="28" spans="1:2" x14ac:dyDescent="0.3">
      <c r="A28" s="11" t="s">
        <v>53</v>
      </c>
      <c r="B28" s="11">
        <f>COUNTIF(Dataset!J$6:J$25,A28)</f>
        <v>0</v>
      </c>
    </row>
    <row r="29" spans="1:2" x14ac:dyDescent="0.3">
      <c r="A29" s="11" t="s">
        <v>54</v>
      </c>
      <c r="B29" s="11">
        <f>COUNTIF(Dataset!J$6:J$25,A29)</f>
        <v>0</v>
      </c>
    </row>
    <row r="30" spans="1:2" x14ac:dyDescent="0.3">
      <c r="A30" s="11" t="s">
        <v>55</v>
      </c>
      <c r="B30" s="11">
        <f>COUNTIF(Dataset!J$6:J$25,A30)</f>
        <v>2</v>
      </c>
    </row>
    <row r="32" spans="1:2" x14ac:dyDescent="0.3">
      <c r="A32" s="14" t="s">
        <v>23</v>
      </c>
      <c r="B32" s="14" t="s">
        <v>48</v>
      </c>
    </row>
    <row r="33" spans="1:2" x14ac:dyDescent="0.3">
      <c r="A33" s="11" t="s">
        <v>56</v>
      </c>
      <c r="B33" s="11">
        <f>COUNTIF(Dataset!G$6:G$25,A33)</f>
        <v>0</v>
      </c>
    </row>
    <row r="34" spans="1:2" x14ac:dyDescent="0.3">
      <c r="A34" s="11" t="s">
        <v>57</v>
      </c>
      <c r="B34" s="11">
        <f>COUNTIF(Dataset!G$6:G$25,A34)</f>
        <v>0</v>
      </c>
    </row>
    <row r="35" spans="1:2" x14ac:dyDescent="0.3">
      <c r="A35" s="11" t="s">
        <v>37</v>
      </c>
      <c r="B35" s="11">
        <f>COUNTIF(Dataset!G$6:G$25,A35)</f>
        <v>0</v>
      </c>
    </row>
    <row r="36" spans="1:2" x14ac:dyDescent="0.3">
      <c r="A36" s="11" t="s">
        <v>58</v>
      </c>
      <c r="B36" s="11">
        <f>COUNTIF(Dataset!G$6:G$25,A36)</f>
        <v>0</v>
      </c>
    </row>
    <row r="37" spans="1:2" x14ac:dyDescent="0.3">
      <c r="A37" s="11" t="s">
        <v>51</v>
      </c>
      <c r="B37" s="11">
        <f>COUNTIF(Dataset!G$6:G$25,A37)</f>
        <v>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7"/>
  <sheetViews>
    <sheetView workbookViewId="0"/>
  </sheetViews>
  <sheetFormatPr defaultColWidth="8.77734375" defaultRowHeight="14.4" x14ac:dyDescent="0.3"/>
  <cols>
    <col min="1" max="4" width="26" customWidth="1"/>
  </cols>
  <sheetData>
    <row r="1" spans="1:4" ht="15.6" x14ac:dyDescent="0.3">
      <c r="A1" s="13" t="s">
        <v>59</v>
      </c>
    </row>
    <row r="2" spans="1:4" x14ac:dyDescent="0.3">
      <c r="A2" s="14" t="s">
        <v>23</v>
      </c>
      <c r="B2" s="14" t="s">
        <v>24</v>
      </c>
      <c r="C2" s="14" t="s">
        <v>25</v>
      </c>
      <c r="D2" s="14" t="s">
        <v>26</v>
      </c>
    </row>
    <row r="3" spans="1:4" x14ac:dyDescent="0.3">
      <c r="A3" s="11" t="s">
        <v>56</v>
      </c>
      <c r="B3" s="11" t="s">
        <v>38</v>
      </c>
      <c r="C3" s="11" t="s">
        <v>39</v>
      </c>
      <c r="D3" s="11" t="s">
        <v>38</v>
      </c>
    </row>
    <row r="4" spans="1:4" x14ac:dyDescent="0.3">
      <c r="A4" s="11" t="s">
        <v>57</v>
      </c>
      <c r="B4" s="11" t="s">
        <v>52</v>
      </c>
      <c r="C4" s="11" t="s">
        <v>49</v>
      </c>
      <c r="D4" s="11" t="s">
        <v>52</v>
      </c>
    </row>
    <row r="5" spans="1:4" x14ac:dyDescent="0.3">
      <c r="A5" s="11" t="s">
        <v>37</v>
      </c>
      <c r="B5" s="11" t="s">
        <v>53</v>
      </c>
      <c r="C5" s="11" t="s">
        <v>50</v>
      </c>
      <c r="D5" s="11" t="s">
        <v>53</v>
      </c>
    </row>
    <row r="6" spans="1:4" x14ac:dyDescent="0.3">
      <c r="A6" s="11" t="s">
        <v>58</v>
      </c>
      <c r="B6" s="11" t="s">
        <v>54</v>
      </c>
      <c r="C6" s="11" t="s">
        <v>51</v>
      </c>
      <c r="D6" s="11" t="s">
        <v>54</v>
      </c>
    </row>
    <row r="7" spans="1:4" x14ac:dyDescent="0.3">
      <c r="A7" s="11" t="s">
        <v>51</v>
      </c>
      <c r="B7" s="11" t="s">
        <v>51</v>
      </c>
      <c r="D7" s="11" t="s">
        <v>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Team</vt:lpstr>
      <vt:lpstr>Dataset</vt:lpstr>
      <vt:lpstr>Chart counts</vt:lpstr>
      <vt:lpstr>Vocabularies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simran.pawar235@gmail.com</cp:lastModifiedBy>
  <dcterms:created xsi:type="dcterms:W3CDTF">2026-09-16T11:13:46Z</dcterms:created>
  <dcterms:modified xsi:type="dcterms:W3CDTF">2026-10-29T07:48:31Z</dcterms:modified>
</cp:coreProperties>
</file>